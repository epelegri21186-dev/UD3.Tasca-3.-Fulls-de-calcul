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05" windowHeight="886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<sst xmlns="http://schemas.openxmlformats.org/spreadsheetml/2006/main" count="21" uniqueCount="21">
  <si>
    <t>Codi</t>
  </si>
  <si>
    <t>Article</t>
  </si>
  <si>
    <t>Unitats</t>
  </si>
  <si>
    <t xml:space="preserve">Preu Unitari </t>
  </si>
  <si>
    <t>Subtotal</t>
  </si>
  <si>
    <t>Descompte</t>
  </si>
  <si>
    <t>Total descompte</t>
  </si>
  <si>
    <t>IVA %</t>
  </si>
  <si>
    <t>Total IVA</t>
  </si>
  <si>
    <t>Total amb IVA</t>
  </si>
  <si>
    <t>Abric talla S</t>
  </si>
  <si>
    <t>Sabates talla 36</t>
  </si>
  <si>
    <t>Llibre de text</t>
  </si>
  <si>
    <t>Patates</t>
  </si>
  <si>
    <t>Import brut</t>
  </si>
  <si>
    <t>Total descomptes</t>
  </si>
  <si>
    <t>Tipus IVA %</t>
  </si>
  <si>
    <t>Base Imponible</t>
  </si>
  <si>
    <t>Import IVA</t>
  </si>
  <si>
    <t>Forma de pagament:</t>
  </si>
  <si>
    <t>TOTAL DE LA FACTURA</t>
  </si>
</sst>
</file>

<file path=xl/styles.xml><?xml version="1.0" encoding="utf-8"?>
<styleSheet xmlns="http://schemas.openxmlformats.org/spreadsheetml/2006/main">
  <numFmts count="5">
    <numFmt numFmtId="176" formatCode="0.00_ 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B66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topLeftCell="A5" workbookViewId="0">
      <selection activeCell="D13" sqref="D13"/>
    </sheetView>
  </sheetViews>
  <sheetFormatPr defaultColWidth="8.8" defaultRowHeight="12.75"/>
  <sheetData>
    <row r="1" customHeight="1"/>
    <row r="2" customHeight="1"/>
    <row r="3" customHeight="1"/>
    <row r="4" customHeight="1"/>
    <row r="5" customHeight="1"/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  <row r="14" ht="14.25" customHeight="1"/>
    <row r="15" ht="25.5" customHeight="1" spans="1:11">
      <c r="A15" s="1" t="s">
        <v>0</v>
      </c>
      <c r="B15" s="2" t="s">
        <v>1</v>
      </c>
      <c r="C15" s="2"/>
      <c r="D15" s="1" t="s">
        <v>2</v>
      </c>
      <c r="E15" s="1" t="s">
        <v>3</v>
      </c>
      <c r="F15" s="1" t="s">
        <v>4</v>
      </c>
      <c r="G15" s="1" t="s">
        <v>5</v>
      </c>
      <c r="H15" s="2" t="s">
        <v>6</v>
      </c>
      <c r="I15" s="1" t="s">
        <v>7</v>
      </c>
      <c r="J15" s="1" t="s">
        <v>8</v>
      </c>
      <c r="K15" s="1" t="s">
        <v>9</v>
      </c>
    </row>
    <row r="16" ht="14.25" customHeight="1" spans="1:11">
      <c r="A16" s="3">
        <v>123935</v>
      </c>
      <c r="B16" s="4" t="s">
        <v>10</v>
      </c>
      <c r="C16" s="4"/>
      <c r="D16" s="3">
        <v>2</v>
      </c>
      <c r="E16" s="3">
        <v>14.99</v>
      </c>
      <c r="F16" s="3">
        <f>D16*E16</f>
        <v>29.98</v>
      </c>
      <c r="G16" s="3">
        <v>5</v>
      </c>
      <c r="H16" s="4">
        <f>F16*G16/100</f>
        <v>1.499</v>
      </c>
      <c r="I16" s="3">
        <v>0.21</v>
      </c>
      <c r="J16" s="3">
        <f>(F16-H16)*I16</f>
        <v>5.98101</v>
      </c>
      <c r="K16" s="3">
        <f>F16-H16+J16</f>
        <v>34.46201</v>
      </c>
    </row>
    <row r="17" spans="1:11">
      <c r="A17" s="3">
        <v>123936</v>
      </c>
      <c r="B17" s="4" t="s">
        <v>11</v>
      </c>
      <c r="C17" s="4"/>
      <c r="D17" s="3">
        <v>1</v>
      </c>
      <c r="E17" s="3">
        <v>29.15</v>
      </c>
      <c r="F17" s="3">
        <f t="shared" ref="F17:F25" si="0">D17*E17</f>
        <v>29.15</v>
      </c>
      <c r="G17" s="3">
        <v>3</v>
      </c>
      <c r="H17" s="4">
        <f>F17*G17/100</f>
        <v>0.8745</v>
      </c>
      <c r="I17" s="3">
        <v>0.21</v>
      </c>
      <c r="J17" s="3">
        <f t="shared" ref="J17:J25" si="1">(F17-H17)*I17</f>
        <v>5.937855</v>
      </c>
      <c r="K17" s="3">
        <f>F17-H17+J17</f>
        <v>34.213355</v>
      </c>
    </row>
    <row r="18" spans="1:11">
      <c r="A18" s="3">
        <v>123937</v>
      </c>
      <c r="B18" s="4" t="s">
        <v>12</v>
      </c>
      <c r="C18" s="4"/>
      <c r="D18" s="3">
        <v>3</v>
      </c>
      <c r="E18" s="3">
        <v>25.66</v>
      </c>
      <c r="F18" s="3">
        <f t="shared" si="0"/>
        <v>76.98</v>
      </c>
      <c r="G18" s="3">
        <v>10</v>
      </c>
      <c r="H18" s="4">
        <f>F18*G18/100</f>
        <v>7.698</v>
      </c>
      <c r="I18" s="3">
        <v>0.1</v>
      </c>
      <c r="J18" s="3">
        <f t="shared" si="1"/>
        <v>6.9282</v>
      </c>
      <c r="K18" s="3">
        <f>F18-H18+J18</f>
        <v>76.2102</v>
      </c>
    </row>
    <row r="19" ht="13.5" spans="1:11">
      <c r="A19" s="3">
        <v>123938</v>
      </c>
      <c r="B19" s="4" t="s">
        <v>13</v>
      </c>
      <c r="C19" s="4"/>
      <c r="D19" s="3">
        <v>5</v>
      </c>
      <c r="E19" s="3">
        <v>0.85</v>
      </c>
      <c r="F19" s="3">
        <f t="shared" si="0"/>
        <v>4.25</v>
      </c>
      <c r="G19" s="5"/>
      <c r="H19" s="4">
        <f>F19*G19/100</f>
        <v>0</v>
      </c>
      <c r="I19" s="3">
        <v>0.04</v>
      </c>
      <c r="J19" s="3">
        <f t="shared" si="1"/>
        <v>0.17</v>
      </c>
      <c r="K19" s="3">
        <f>F19-H19+J19</f>
        <v>4.42</v>
      </c>
    </row>
    <row r="20" ht="13.5" spans="1:11">
      <c r="A20" s="5"/>
      <c r="B20" s="5"/>
      <c r="C20" s="5"/>
      <c r="D20" s="5"/>
      <c r="E20" s="5"/>
      <c r="F20" s="3">
        <f t="shared" si="0"/>
        <v>0</v>
      </c>
      <c r="G20" s="5"/>
      <c r="H20" s="4">
        <f>F20*G20/100</f>
        <v>0</v>
      </c>
      <c r="I20" s="5"/>
      <c r="J20" s="3">
        <f t="shared" si="1"/>
        <v>0</v>
      </c>
      <c r="K20" s="3">
        <f>F20-H20+J20</f>
        <v>0</v>
      </c>
    </row>
    <row r="21" ht="13.5" spans="1:11">
      <c r="A21" s="5"/>
      <c r="B21" s="5"/>
      <c r="C21" s="5"/>
      <c r="D21" s="5"/>
      <c r="E21" s="5"/>
      <c r="F21" s="3">
        <f t="shared" si="0"/>
        <v>0</v>
      </c>
      <c r="G21" s="5"/>
      <c r="H21" s="4">
        <f>F21*G21/100</f>
        <v>0</v>
      </c>
      <c r="I21" s="5"/>
      <c r="J21" s="3">
        <f t="shared" si="1"/>
        <v>0</v>
      </c>
      <c r="K21" s="3">
        <v>0</v>
      </c>
    </row>
    <row r="22" ht="13.5" spans="1:11">
      <c r="A22" s="5"/>
      <c r="B22" s="5"/>
      <c r="C22" s="5"/>
      <c r="D22" s="5"/>
      <c r="E22" s="5"/>
      <c r="F22" s="3">
        <f t="shared" si="0"/>
        <v>0</v>
      </c>
      <c r="G22" s="5"/>
      <c r="H22" s="4">
        <f>F22*G22/100</f>
        <v>0</v>
      </c>
      <c r="I22" s="5"/>
      <c r="J22" s="3">
        <f t="shared" si="1"/>
        <v>0</v>
      </c>
      <c r="K22" s="3">
        <v>0</v>
      </c>
    </row>
    <row r="23" ht="13.5" spans="1:11">
      <c r="A23" s="5"/>
      <c r="B23" s="5"/>
      <c r="C23" s="5"/>
      <c r="D23" s="5"/>
      <c r="E23" s="5"/>
      <c r="F23" s="3">
        <f t="shared" si="0"/>
        <v>0</v>
      </c>
      <c r="G23" s="5"/>
      <c r="H23" s="4">
        <f>F23*G23/100</f>
        <v>0</v>
      </c>
      <c r="I23" s="5"/>
      <c r="J23" s="3">
        <f t="shared" si="1"/>
        <v>0</v>
      </c>
      <c r="K23" s="3">
        <v>0</v>
      </c>
    </row>
    <row r="24" ht="13.5" spans="1:11">
      <c r="A24" s="5"/>
      <c r="B24" s="5"/>
      <c r="C24" s="5"/>
      <c r="D24" s="5"/>
      <c r="E24" s="5"/>
      <c r="F24" s="3">
        <f t="shared" si="0"/>
        <v>0</v>
      </c>
      <c r="G24" s="5"/>
      <c r="H24" s="4">
        <f>F24*G24/100</f>
        <v>0</v>
      </c>
      <c r="I24" s="5"/>
      <c r="J24" s="3">
        <f t="shared" si="1"/>
        <v>0</v>
      </c>
      <c r="K24" s="3">
        <v>0</v>
      </c>
    </row>
    <row r="25" ht="13.5" spans="1:11">
      <c r="A25" s="5"/>
      <c r="B25" s="5"/>
      <c r="C25" s="5"/>
      <c r="D25" s="5"/>
      <c r="E25" s="5"/>
      <c r="F25" s="3">
        <f t="shared" si="0"/>
        <v>0</v>
      </c>
      <c r="G25" s="5"/>
      <c r="H25" s="4">
        <f>F25*G25/100</f>
        <v>0</v>
      </c>
      <c r="I25" s="5"/>
      <c r="J25" s="3">
        <f t="shared" si="1"/>
        <v>0</v>
      </c>
      <c r="K25" s="3">
        <v>0</v>
      </c>
    </row>
    <row r="26" spans="1:11">
      <c r="A26" s="6" t="s">
        <v>14</v>
      </c>
      <c r="B26" s="6"/>
      <c r="C26" s="6"/>
      <c r="D26" s="6" t="s">
        <v>15</v>
      </c>
      <c r="E26" s="6"/>
      <c r="F26" s="6" t="s">
        <v>16</v>
      </c>
      <c r="G26" s="6"/>
      <c r="H26" s="6" t="s">
        <v>17</v>
      </c>
      <c r="I26" s="6"/>
      <c r="J26" s="6" t="s">
        <v>18</v>
      </c>
      <c r="K26" s="6"/>
    </row>
    <row r="27" spans="1:11">
      <c r="A27" s="4">
        <f>SUM(F16:F25)</f>
        <v>140.36</v>
      </c>
      <c r="B27" s="4"/>
      <c r="C27" s="4"/>
      <c r="D27" s="4">
        <f>SUM(H16:H25)</f>
        <v>10.0715</v>
      </c>
      <c r="E27" s="4"/>
      <c r="F27" s="4">
        <v>0.04</v>
      </c>
      <c r="G27" s="4"/>
      <c r="H27" s="4">
        <f ca="1">SUMIF(I$16:K$25,F27,K$16:K$25)-SUMIF(I$16:K$25,F27,J$16:J$25)</f>
        <v>4.25</v>
      </c>
      <c r="I27" s="4"/>
      <c r="J27" s="4">
        <f ca="1">F27*H27</f>
        <v>0.17</v>
      </c>
      <c r="K27" s="4"/>
    </row>
    <row r="28" spans="1:11">
      <c r="A28" s="4"/>
      <c r="B28" s="4"/>
      <c r="C28" s="4"/>
      <c r="D28" s="4"/>
      <c r="E28" s="4"/>
      <c r="F28" s="4">
        <v>0.1</v>
      </c>
      <c r="G28" s="4"/>
      <c r="H28" s="4">
        <f ca="1">SUMIF(I$16:K$25,F28,K$16:K$25)-SUMIF(I$16:K$25,F28,J$16:J$25)</f>
        <v>69.282</v>
      </c>
      <c r="I28" s="4"/>
      <c r="J28" s="4">
        <f ca="1">F28*H28</f>
        <v>6.9282</v>
      </c>
      <c r="K28" s="4"/>
    </row>
    <row r="29" spans="1:11">
      <c r="A29" s="4"/>
      <c r="B29" s="4"/>
      <c r="C29" s="4"/>
      <c r="D29" s="4"/>
      <c r="E29" s="4"/>
      <c r="F29" s="4">
        <v>0.21</v>
      </c>
      <c r="G29" s="4"/>
      <c r="H29" s="4">
        <f ca="1">SUMIF(I$16:K$25,F29,K$16:K$25)-SUMIF(I$16:K$25,F29,J$16:J$25)</f>
        <v>56.7565</v>
      </c>
      <c r="I29" s="4"/>
      <c r="J29" s="4">
        <f ca="1">F29*H29</f>
        <v>11.918865</v>
      </c>
      <c r="K29" s="4"/>
    </row>
    <row r="30" spans="1:11">
      <c r="A30" s="7" t="s">
        <v>19</v>
      </c>
      <c r="B30" s="7"/>
      <c r="C30" s="7"/>
      <c r="D30" s="7"/>
      <c r="E30" s="7"/>
      <c r="F30" s="4" t="s">
        <v>20</v>
      </c>
      <c r="G30" s="4"/>
      <c r="H30" s="4"/>
      <c r="I30" s="4"/>
      <c r="J30" s="4">
        <f ca="1">A27-D27+J29+J28+J27</f>
        <v>149.305565</v>
      </c>
      <c r="K30" s="4"/>
    </row>
    <row r="31" spans="1:11">
      <c r="A31" s="7"/>
      <c r="B31" s="7"/>
      <c r="C31" s="7"/>
      <c r="D31" s="7"/>
      <c r="E31" s="7"/>
      <c r="F31" s="4"/>
      <c r="G31" s="4"/>
      <c r="H31" s="4"/>
      <c r="I31" s="4"/>
      <c r="J31" s="4"/>
      <c r="K31" s="4"/>
    </row>
    <row r="32" spans="1:11">
      <c r="A32" s="7"/>
      <c r="B32" s="7"/>
      <c r="C32" s="7"/>
      <c r="D32" s="7"/>
      <c r="E32" s="7"/>
      <c r="F32" s="4"/>
      <c r="G32" s="4"/>
      <c r="H32" s="4"/>
      <c r="I32" s="4"/>
      <c r="J32" s="4"/>
      <c r="K32" s="4"/>
    </row>
  </sheetData>
  <mergeCells count="30"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C26"/>
    <mergeCell ref="D26:E26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A27:C29"/>
    <mergeCell ref="D27:E29"/>
    <mergeCell ref="A30:E32"/>
    <mergeCell ref="F30:I32"/>
    <mergeCell ref="J30:K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</dc:creator>
  <cp:lastModifiedBy>hola</cp:lastModifiedBy>
  <dcterms:created xsi:type="dcterms:W3CDTF">2025-11-05T16:14:16Z</dcterms:created>
  <dcterms:modified xsi:type="dcterms:W3CDTF">2025-11-05T16:43:15Z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3082-10.1.0.6757</vt:lpwstr>
  </property>
</Properties>
</file>